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<sst xmlns="http://schemas.openxmlformats.org/spreadsheetml/2006/main" count="17" uniqueCount="17">
  <si>
    <t>Monthly budget</t>
  </si>
  <si>
    <t>Category</t>
  </si>
  <si>
    <t>Planned</t>
  </si>
  <si>
    <t>Actual</t>
  </si>
  <si>
    <t>Difference</t>
  </si>
  <si>
    <t>% used</t>
  </si>
  <si>
    <t>Rent</t>
  </si>
  <si>
    <t>Groceries</t>
  </si>
  <si>
    <t>Transport</t>
  </si>
  <si>
    <t>Utilities</t>
  </si>
  <si>
    <t>Phone &amp; internet</t>
  </si>
  <si>
    <t>Eating out</t>
  </si>
  <si>
    <t>Savings</t>
  </si>
  <si>
    <t>Other</t>
  </si>
  <si>
    <t>Total</t>
  </si>
  <si>
    <t>Income</t>
  </si>
  <si>
    <t>Left after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</si>
</sst>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4" fontId="0" fillId="0" borderId="0" xfId="0" applyNumberFormat="1"/>
    <xf numFmtId="9" fontId="0" fillId="0" borderId="0" xfId="0" applyNumberFormat="1"/>
    <xf numFmtId="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6" customWidth="1"/>
    <col min="2" max="4" width="14" customWidth="1"/>
    <col min="5" max="5" width="12" customWidth="1"/>
  </cols>
  <sheetData>
    <row r="1" spans="1:1" s="1" customFormat="1" x14ac:dyDescent="0.25">
      <c r="A1" s="1" t="s">
        <v>0</v>
      </c>
    </row>
    <row r="3" spans="1:5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t="s">
        <v>6</v>
      </c>
      <c r="B4" s="4">
        <v>1500</v>
      </c>
      <c r="C4" s="4">
        <v>1500</v>
      </c>
      <c r="D4" s="4">
        <f>B4-C4</f>
      </c>
      <c r="E4" s="5">
        <f>IF(B4=0,0,C4/B4)</f>
      </c>
    </row>
    <row r="5" spans="1:5" x14ac:dyDescent="0.25">
      <c r="A5" t="s">
        <v>7</v>
      </c>
      <c r="B5" s="4">
        <v>450</v>
      </c>
      <c r="C5" s="4">
        <v>512.4</v>
      </c>
      <c r="D5" s="4">
        <f>B5-C5</f>
      </c>
      <c r="E5" s="5">
        <f>IF(B5=0,0,C5/B5)</f>
      </c>
    </row>
    <row r="6" spans="1:5" x14ac:dyDescent="0.25">
      <c r="A6" t="s">
        <v>8</v>
      </c>
      <c r="B6" s="4">
        <v>160</v>
      </c>
      <c r="C6" s="4">
        <v>138</v>
      </c>
      <c r="D6" s="4">
        <f>B6-C6</f>
      </c>
      <c r="E6" s="5">
        <f>IF(B6=0,0,C6/B6)</f>
      </c>
    </row>
    <row r="7" spans="1:5" x14ac:dyDescent="0.25">
      <c r="A7" t="s">
        <v>9</v>
      </c>
      <c r="B7" s="4">
        <v>210</v>
      </c>
      <c r="C7" s="4">
        <v>196.75</v>
      </c>
      <c r="D7" s="4">
        <f>B7-C7</f>
      </c>
      <c r="E7" s="5">
        <f>IF(B7=0,0,C7/B7)</f>
      </c>
    </row>
    <row r="8" spans="1:5" x14ac:dyDescent="0.25">
      <c r="A8" t="s">
        <v>10</v>
      </c>
      <c r="B8" s="4">
        <v>90</v>
      </c>
      <c r="C8" s="4">
        <v>90</v>
      </c>
      <c r="D8" s="4">
        <f>B8-C8</f>
      </c>
      <c r="E8" s="5">
        <f>IF(B8=0,0,C8/B8)</f>
      </c>
    </row>
    <row r="9" spans="1:5" x14ac:dyDescent="0.25">
      <c r="A9" t="s">
        <v>11</v>
      </c>
      <c r="B9" s="4">
        <v>180</v>
      </c>
      <c r="C9" s="4">
        <v>241.2</v>
      </c>
      <c r="D9" s="4">
        <f>B9-C9</f>
      </c>
      <c r="E9" s="5">
        <f>IF(B9=0,0,C9/B9)</f>
      </c>
    </row>
    <row r="10" spans="1:5" x14ac:dyDescent="0.25">
      <c r="A10" t="s">
        <v>12</v>
      </c>
      <c r="B10" s="4">
        <v>400</v>
      </c>
      <c r="C10" s="4">
        <v>400</v>
      </c>
      <c r="D10" s="4">
        <f>B10-C10</f>
      </c>
      <c r="E10" s="5">
        <f>IF(B10=0,0,C10/B10)</f>
      </c>
    </row>
    <row r="11" spans="1:5" x14ac:dyDescent="0.25">
      <c r="A11" t="s">
        <v>13</v>
      </c>
      <c r="B11" s="4">
        <v>120</v>
      </c>
      <c r="C11" s="4">
        <v>64</v>
      </c>
      <c r="D11" s="4">
        <f>B11-C11</f>
      </c>
      <c r="E11" s="5">
        <f>IF(B11=0,0,C11/B11)</f>
      </c>
    </row>
    <row r="12" spans="1:5" s="2" customFormat="1" x14ac:dyDescent="0.25">
      <c r="A12" s="2" t="s">
        <v>14</v>
      </c>
      <c r="B12" s="6">
        <f>SUM(B4:B11)</f>
      </c>
      <c r="C12" s="6">
        <f>SUM(C4:C11)</f>
      </c>
      <c r="D12" s="6">
        <f>B12-C12</f>
      </c>
      <c r="E12" s="7">
        <f>IF(B12=0,0,C12/B12)</f>
      </c>
    </row>
    <row r="13" spans="2:5" x14ac:dyDescent="0.25">
      <c r="B13" s="4"/>
      <c r="C13" s="4"/>
      <c r="D13" s="4"/>
      <c r="E13" s="5"/>
    </row>
    <row r="14" spans="1:5" x14ac:dyDescent="0.25">
      <c r="A14" t="s">
        <v>15</v>
      </c>
      <c r="B14" s="4">
        <v>3400</v>
      </c>
      <c r="C14" s="4"/>
      <c r="D14" s="4"/>
      <c r="E14" s="5"/>
    </row>
    <row r="15" spans="1:5" x14ac:dyDescent="0.25">
      <c r="A15" t="s">
        <v>16</v>
      </c>
      <c r="B15" s="4">
        <f>B14-C12</f>
      </c>
      <c r="C15" s="4"/>
      <c r="D15" s="4"/>
      <c r="E15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2026-10-05T21:27:04Z</dcterms:created>
  <dcterms:modified xsi:type="dcterms:W3CDTF">2026-10-05T21:27:04Z</dcterms:modified>
</cp:coreProperties>
</file>