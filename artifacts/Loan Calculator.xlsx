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n" state="visible" r:id="rId4"/>
  </sheets>
  <calcPr calcId="171027"/>
</workbook>
</file>

<file path=xl/sharedStrings.xml><?xml version="1.0" encoding="utf-8"?>
<sst xmlns="http://schemas.openxmlformats.org/spreadsheetml/2006/main" count="11" uniqueCount="11">
  <si>
    <t>Loan calculator</t>
  </si>
  <si>
    <t>Amount</t>
  </si>
  <si>
    <t>Annual rate</t>
  </si>
  <si>
    <t>Years</t>
  </si>
  <si>
    <t>Monthly payment</t>
  </si>
  <si>
    <t>Total interest</t>
  </si>
  <si>
    <t>Month</t>
  </si>
  <si>
    <t>Payment</t>
  </si>
  <si>
    <t>Interest</t>
  </si>
  <si>
    <t>Principal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</si>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</sst>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1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FormatPr defaultRowHeight="15" outlineLevelRow="0" outlineLevelCol="0" x14ac:dyDescent="55"/>
  <cols>
    <col min="1" max="1" width="22" customWidth="1"/>
    <col min="2" max="5" width="14" customWidth="1"/>
  </cols>
  <sheetData>
    <row r="1" spans="1:1" s="1" customFormat="1" x14ac:dyDescent="0.25">
      <c r="A1" s="1" t="s">
        <v>0</v>
      </c>
    </row>
    <row r="3" spans="1:2" x14ac:dyDescent="0.25">
      <c r="A3" t="s">
        <v>1</v>
      </c>
      <c r="B3" s="2">
        <v>25000</v>
      </c>
    </row>
    <row r="4" spans="1:2" x14ac:dyDescent="0.25">
      <c r="A4" t="s">
        <v>2</v>
      </c>
      <c r="B4" s="3">
        <v>0.065</v>
      </c>
    </row>
    <row r="5" spans="1:2" x14ac:dyDescent="0.25">
      <c r="A5" t="s">
        <v>3</v>
      </c>
      <c r="B5">
        <v>5</v>
      </c>
    </row>
    <row r="6" spans="1:2" x14ac:dyDescent="0.25">
      <c r="A6" t="s">
        <v>4</v>
      </c>
      <c r="B6" s="2">
        <f>-PMT(B4/12,B5*12,B3)</f>
      </c>
    </row>
    <row r="7" spans="1:2" x14ac:dyDescent="0.25">
      <c r="A7" t="s">
        <v>5</v>
      </c>
      <c r="B7" s="2">
        <f>B6*B5*12-B3</f>
      </c>
    </row>
    <row r="9" spans="1:5" s="4" customFormat="1" x14ac:dyDescent="0.25">
      <c r="A9" s="4" t="s">
        <v>6</v>
      </c>
      <c r="B9" s="4" t="s">
        <v>7</v>
      </c>
      <c r="C9" s="4" t="s">
        <v>8</v>
      </c>
      <c r="D9" s="4" t="s">
        <v>9</v>
      </c>
      <c r="E9" s="4" t="s">
        <v>10</v>
      </c>
    </row>
    <row r="10" spans="1:5" x14ac:dyDescent="0.25">
      <c r="A10">
        <v>1</v>
      </c>
      <c r="B10" s="2">
        <f>IF(A10&gt;$B$5*12,0,$B$6)</f>
      </c>
      <c r="C10" s="2">
        <f>B3*$B$4/12</f>
      </c>
      <c r="D10" s="2">
        <f>B10-C10</f>
      </c>
      <c r="E10" s="2">
        <f>B3-D10</f>
      </c>
    </row>
    <row r="11" spans="1:5" x14ac:dyDescent="0.25">
      <c r="A11">
        <v>2</v>
      </c>
      <c r="B11" s="2">
        <f>IF(A11&gt;$B$5*12,0,$B$6)</f>
      </c>
      <c r="C11" s="2">
        <f>E10*$B$4/12</f>
      </c>
      <c r="D11" s="2">
        <f>B11-C11</f>
      </c>
      <c r="E11" s="2">
        <f>E10-D11</f>
      </c>
    </row>
    <row r="12" spans="1:5" x14ac:dyDescent="0.25">
      <c r="A12">
        <v>3</v>
      </c>
      <c r="B12" s="2">
        <f>IF(A12&gt;$B$5*12,0,$B$6)</f>
      </c>
      <c r="C12" s="2">
        <f>E11*$B$4/12</f>
      </c>
      <c r="D12" s="2">
        <f>B12-C12</f>
      </c>
      <c r="E12" s="2">
        <f>E11-D12</f>
      </c>
    </row>
    <row r="13" spans="1:5" x14ac:dyDescent="0.25">
      <c r="A13">
        <v>4</v>
      </c>
      <c r="B13" s="2">
        <f>IF(A13&gt;$B$5*12,0,$B$6)</f>
      </c>
      <c r="C13" s="2">
        <f>E12*$B$4/12</f>
      </c>
      <c r="D13" s="2">
        <f>B13-C13</f>
      </c>
      <c r="E13" s="2">
        <f>E12-D13</f>
      </c>
    </row>
    <row r="14" spans="1:5" x14ac:dyDescent="0.25">
      <c r="A14">
        <v>5</v>
      </c>
      <c r="B14" s="2">
        <f>IF(A14&gt;$B$5*12,0,$B$6)</f>
      </c>
      <c r="C14" s="2">
        <f>E13*$B$4/12</f>
      </c>
      <c r="D14" s="2">
        <f>B14-C14</f>
      </c>
      <c r="E14" s="2">
        <f>E13-D14</f>
      </c>
    </row>
    <row r="15" spans="1:5" x14ac:dyDescent="0.25">
      <c r="A15">
        <v>6</v>
      </c>
      <c r="B15" s="2">
        <f>IF(A15&gt;$B$5*12,0,$B$6)</f>
      </c>
      <c r="C15" s="2">
        <f>E14*$B$4/12</f>
      </c>
      <c r="D15" s="2">
        <f>B15-C15</f>
      </c>
      <c r="E15" s="2">
        <f>E14-D15</f>
      </c>
    </row>
    <row r="16" spans="1:5" x14ac:dyDescent="0.25">
      <c r="A16">
        <v>7</v>
      </c>
      <c r="B16" s="2">
        <f>IF(A16&gt;$B$5*12,0,$B$6)</f>
      </c>
      <c r="C16" s="2">
        <f>E15*$B$4/12</f>
      </c>
      <c r="D16" s="2">
        <f>B16-C16</f>
      </c>
      <c r="E16" s="2">
        <f>E15-D16</f>
      </c>
    </row>
    <row r="17" spans="1:5" x14ac:dyDescent="0.25">
      <c r="A17">
        <v>8</v>
      </c>
      <c r="B17" s="2">
        <f>IF(A17&gt;$B$5*12,0,$B$6)</f>
      </c>
      <c r="C17" s="2">
        <f>E16*$B$4/12</f>
      </c>
      <c r="D17" s="2">
        <f>B17-C17</f>
      </c>
      <c r="E17" s="2">
        <f>E16-D17</f>
      </c>
    </row>
    <row r="18" spans="1:5" x14ac:dyDescent="0.25">
      <c r="A18">
        <v>9</v>
      </c>
      <c r="B18" s="2">
        <f>IF(A18&gt;$B$5*12,0,$B$6)</f>
      </c>
      <c r="C18" s="2">
        <f>E17*$B$4/12</f>
      </c>
      <c r="D18" s="2">
        <f>B18-C18</f>
      </c>
      <c r="E18" s="2">
        <f>E17-D18</f>
      </c>
    </row>
    <row r="19" spans="1:5" x14ac:dyDescent="0.25">
      <c r="A19">
        <v>10</v>
      </c>
      <c r="B19" s="2">
        <f>IF(A19&gt;$B$5*12,0,$B$6)</f>
      </c>
      <c r="C19" s="2">
        <f>E18*$B$4/12</f>
      </c>
      <c r="D19" s="2">
        <f>B19-C19</f>
      </c>
      <c r="E19" s="2">
        <f>E18-D19</f>
      </c>
    </row>
    <row r="20" spans="1:5" x14ac:dyDescent="0.25">
      <c r="A20">
        <v>11</v>
      </c>
      <c r="B20" s="2">
        <f>IF(A20&gt;$B$5*12,0,$B$6)</f>
      </c>
      <c r="C20" s="2">
        <f>E19*$B$4/12</f>
      </c>
      <c r="D20" s="2">
        <f>B20-C20</f>
      </c>
      <c r="E20" s="2">
        <f>E19-D20</f>
      </c>
    </row>
    <row r="21" spans="1:5" x14ac:dyDescent="0.25">
      <c r="A21">
        <v>12</v>
      </c>
      <c r="B21" s="2">
        <f>IF(A21&gt;$B$5*12,0,$B$6)</f>
      </c>
      <c r="C21" s="2">
        <f>E20*$B$4/12</f>
      </c>
      <c r="D21" s="2">
        <f>B21-C21</f>
      </c>
      <c r="E21" s="2">
        <f>E20-D21</f>
      </c>
    </row>
    <row r="22" spans="1:5" x14ac:dyDescent="0.25">
      <c r="A22">
        <v>13</v>
      </c>
      <c r="B22" s="2">
        <f>IF(A22&gt;$B$5*12,0,$B$6)</f>
      </c>
      <c r="C22" s="2">
        <f>E21*$B$4/12</f>
      </c>
      <c r="D22" s="2">
        <f>B22-C22</f>
      </c>
      <c r="E22" s="2">
        <f>E21-D22</f>
      </c>
    </row>
    <row r="23" spans="1:5" x14ac:dyDescent="0.25">
      <c r="A23">
        <v>14</v>
      </c>
      <c r="B23" s="2">
        <f>IF(A23&gt;$B$5*12,0,$B$6)</f>
      </c>
      <c r="C23" s="2">
        <f>E22*$B$4/12</f>
      </c>
      <c r="D23" s="2">
        <f>B23-C23</f>
      </c>
      <c r="E23" s="2">
        <f>E22-D23</f>
      </c>
    </row>
    <row r="24" spans="1:5" x14ac:dyDescent="0.25">
      <c r="A24">
        <v>15</v>
      </c>
      <c r="B24" s="2">
        <f>IF(A24&gt;$B$5*12,0,$B$6)</f>
      </c>
      <c r="C24" s="2">
        <f>E23*$B$4/12</f>
      </c>
      <c r="D24" s="2">
        <f>B24-C24</f>
      </c>
      <c r="E24" s="2">
        <f>E23-D24</f>
      </c>
    </row>
    <row r="25" spans="1:5" x14ac:dyDescent="0.25">
      <c r="A25">
        <v>16</v>
      </c>
      <c r="B25" s="2">
        <f>IF(A25&gt;$B$5*12,0,$B$6)</f>
      </c>
      <c r="C25" s="2">
        <f>E24*$B$4/12</f>
      </c>
      <c r="D25" s="2">
        <f>B25-C25</f>
      </c>
      <c r="E25" s="2">
        <f>E24-D25</f>
      </c>
    </row>
    <row r="26" spans="1:5" x14ac:dyDescent="0.25">
      <c r="A26">
        <v>17</v>
      </c>
      <c r="B26" s="2">
        <f>IF(A26&gt;$B$5*12,0,$B$6)</f>
      </c>
      <c r="C26" s="2">
        <f>E25*$B$4/12</f>
      </c>
      <c r="D26" s="2">
        <f>B26-C26</f>
      </c>
      <c r="E26" s="2">
        <f>E25-D26</f>
      </c>
    </row>
    <row r="27" spans="1:5" x14ac:dyDescent="0.25">
      <c r="A27">
        <v>18</v>
      </c>
      <c r="B27" s="2">
        <f>IF(A27&gt;$B$5*12,0,$B$6)</f>
      </c>
      <c r="C27" s="2">
        <f>E26*$B$4/12</f>
      </c>
      <c r="D27" s="2">
        <f>B27-C27</f>
      </c>
      <c r="E27" s="2">
        <f>E26-D27</f>
      </c>
    </row>
    <row r="28" spans="1:5" x14ac:dyDescent="0.25">
      <c r="A28">
        <v>19</v>
      </c>
      <c r="B28" s="2">
        <f>IF(A28&gt;$B$5*12,0,$B$6)</f>
      </c>
      <c r="C28" s="2">
        <f>E27*$B$4/12</f>
      </c>
      <c r="D28" s="2">
        <f>B28-C28</f>
      </c>
      <c r="E28" s="2">
        <f>E27-D28</f>
      </c>
    </row>
    <row r="29" spans="1:5" x14ac:dyDescent="0.25">
      <c r="A29">
        <v>20</v>
      </c>
      <c r="B29" s="2">
        <f>IF(A29&gt;$B$5*12,0,$B$6)</f>
      </c>
      <c r="C29" s="2">
        <f>E28*$B$4/12</f>
      </c>
      <c r="D29" s="2">
        <f>B29-C29</f>
      </c>
      <c r="E29" s="2">
        <f>E28-D29</f>
      </c>
    </row>
    <row r="30" spans="1:5" x14ac:dyDescent="0.25">
      <c r="A30">
        <v>21</v>
      </c>
      <c r="B30" s="2">
        <f>IF(A30&gt;$B$5*12,0,$B$6)</f>
      </c>
      <c r="C30" s="2">
        <f>E29*$B$4/12</f>
      </c>
      <c r="D30" s="2">
        <f>B30-C30</f>
      </c>
      <c r="E30" s="2">
        <f>E29-D30</f>
      </c>
    </row>
    <row r="31" spans="1:5" x14ac:dyDescent="0.25">
      <c r="A31">
        <v>22</v>
      </c>
      <c r="B31" s="2">
        <f>IF(A31&gt;$B$5*12,0,$B$6)</f>
      </c>
      <c r="C31" s="2">
        <f>E30*$B$4/12</f>
      </c>
      <c r="D31" s="2">
        <f>B31-C31</f>
      </c>
      <c r="E31" s="2">
        <f>E30-D31</f>
      </c>
    </row>
    <row r="32" spans="1:5" x14ac:dyDescent="0.25">
      <c r="A32">
        <v>23</v>
      </c>
      <c r="B32" s="2">
        <f>IF(A32&gt;$B$5*12,0,$B$6)</f>
      </c>
      <c r="C32" s="2">
        <f>E31*$B$4/12</f>
      </c>
      <c r="D32" s="2">
        <f>B32-C32</f>
      </c>
      <c r="E32" s="2">
        <f>E31-D32</f>
      </c>
    </row>
    <row r="33" spans="1:5" x14ac:dyDescent="0.25">
      <c r="A33">
        <v>24</v>
      </c>
      <c r="B33" s="2">
        <f>IF(A33&gt;$B$5*12,0,$B$6)</f>
      </c>
      <c r="C33" s="2">
        <f>E32*$B$4/12</f>
      </c>
      <c r="D33" s="2">
        <f>B33-C33</f>
      </c>
      <c r="E33" s="2">
        <f>E32-D33</f>
      </c>
    </row>
    <row r="34" spans="1:5" x14ac:dyDescent="0.25">
      <c r="A34">
        <v>25</v>
      </c>
      <c r="B34" s="2">
        <f>IF(A34&gt;$B$5*12,0,$B$6)</f>
      </c>
      <c r="C34" s="2">
        <f>E33*$B$4/12</f>
      </c>
      <c r="D34" s="2">
        <f>B34-C34</f>
      </c>
      <c r="E34" s="2">
        <f>E33-D34</f>
      </c>
    </row>
    <row r="35" spans="1:5" x14ac:dyDescent="0.25">
      <c r="A35">
        <v>26</v>
      </c>
      <c r="B35" s="2">
        <f>IF(A35&gt;$B$5*12,0,$B$6)</f>
      </c>
      <c r="C35" s="2">
        <f>E34*$B$4/12</f>
      </c>
      <c r="D35" s="2">
        <f>B35-C35</f>
      </c>
      <c r="E35" s="2">
        <f>E34-D35</f>
      </c>
    </row>
    <row r="36" spans="1:5" x14ac:dyDescent="0.25">
      <c r="A36">
        <v>27</v>
      </c>
      <c r="B36" s="2">
        <f>IF(A36&gt;$B$5*12,0,$B$6)</f>
      </c>
      <c r="C36" s="2">
        <f>E35*$B$4/12</f>
      </c>
      <c r="D36" s="2">
        <f>B36-C36</f>
      </c>
      <c r="E36" s="2">
        <f>E35-D36</f>
      </c>
    </row>
    <row r="37" spans="1:5" x14ac:dyDescent="0.25">
      <c r="A37">
        <v>28</v>
      </c>
      <c r="B37" s="2">
        <f>IF(A37&gt;$B$5*12,0,$B$6)</f>
      </c>
      <c r="C37" s="2">
        <f>E36*$B$4/12</f>
      </c>
      <c r="D37" s="2">
        <f>B37-C37</f>
      </c>
      <c r="E37" s="2">
        <f>E36-D37</f>
      </c>
    </row>
    <row r="38" spans="1:5" x14ac:dyDescent="0.25">
      <c r="A38">
        <v>29</v>
      </c>
      <c r="B38" s="2">
        <f>IF(A38&gt;$B$5*12,0,$B$6)</f>
      </c>
      <c r="C38" s="2">
        <f>E37*$B$4/12</f>
      </c>
      <c r="D38" s="2">
        <f>B38-C38</f>
      </c>
      <c r="E38" s="2">
        <f>E37-D38</f>
      </c>
    </row>
    <row r="39" spans="1:5" x14ac:dyDescent="0.25">
      <c r="A39">
        <v>30</v>
      </c>
      <c r="B39" s="2">
        <f>IF(A39&gt;$B$5*12,0,$B$6)</f>
      </c>
      <c r="C39" s="2">
        <f>E38*$B$4/12</f>
      </c>
      <c r="D39" s="2">
        <f>B39-C39</f>
      </c>
      <c r="E39" s="2">
        <f>E38-D39</f>
      </c>
    </row>
    <row r="40" spans="1:5" x14ac:dyDescent="0.25">
      <c r="A40">
        <v>31</v>
      </c>
      <c r="B40" s="2">
        <f>IF(A40&gt;$B$5*12,0,$B$6)</f>
      </c>
      <c r="C40" s="2">
        <f>E39*$B$4/12</f>
      </c>
      <c r="D40" s="2">
        <f>B40-C40</f>
      </c>
      <c r="E40" s="2">
        <f>E39-D40</f>
      </c>
    </row>
    <row r="41" spans="1:5" x14ac:dyDescent="0.25">
      <c r="A41">
        <v>32</v>
      </c>
      <c r="B41" s="2">
        <f>IF(A41&gt;$B$5*12,0,$B$6)</f>
      </c>
      <c r="C41" s="2">
        <f>E40*$B$4/12</f>
      </c>
      <c r="D41" s="2">
        <f>B41-C41</f>
      </c>
      <c r="E41" s="2">
        <f>E40-D41</f>
      </c>
    </row>
    <row r="42" spans="1:5" x14ac:dyDescent="0.25">
      <c r="A42">
        <v>33</v>
      </c>
      <c r="B42" s="2">
        <f>IF(A42&gt;$B$5*12,0,$B$6)</f>
      </c>
      <c r="C42" s="2">
        <f>E41*$B$4/12</f>
      </c>
      <c r="D42" s="2">
        <f>B42-C42</f>
      </c>
      <c r="E42" s="2">
        <f>E41-D42</f>
      </c>
    </row>
    <row r="43" spans="1:5" x14ac:dyDescent="0.25">
      <c r="A43">
        <v>34</v>
      </c>
      <c r="B43" s="2">
        <f>IF(A43&gt;$B$5*12,0,$B$6)</f>
      </c>
      <c r="C43" s="2">
        <f>E42*$B$4/12</f>
      </c>
      <c r="D43" s="2">
        <f>B43-C43</f>
      </c>
      <c r="E43" s="2">
        <f>E42-D43</f>
      </c>
    </row>
    <row r="44" spans="1:5" x14ac:dyDescent="0.25">
      <c r="A44">
        <v>35</v>
      </c>
      <c r="B44" s="2">
        <f>IF(A44&gt;$B$5*12,0,$B$6)</f>
      </c>
      <c r="C44" s="2">
        <f>E43*$B$4/12</f>
      </c>
      <c r="D44" s="2">
        <f>B44-C44</f>
      </c>
      <c r="E44" s="2">
        <f>E43-D44</f>
      </c>
    </row>
    <row r="45" spans="1:5" x14ac:dyDescent="0.25">
      <c r="A45">
        <v>36</v>
      </c>
      <c r="B45" s="2">
        <f>IF(A45&gt;$B$5*12,0,$B$6)</f>
      </c>
      <c r="C45" s="2">
        <f>E44*$B$4/12</f>
      </c>
      <c r="D45" s="2">
        <f>B45-C45</f>
      </c>
      <c r="E45" s="2">
        <f>E44-D45</f>
      </c>
    </row>
    <row r="46" spans="1:5" x14ac:dyDescent="0.25">
      <c r="A46">
        <v>37</v>
      </c>
      <c r="B46" s="2">
        <f>IF(A46&gt;$B$5*12,0,$B$6)</f>
      </c>
      <c r="C46" s="2">
        <f>E45*$B$4/12</f>
      </c>
      <c r="D46" s="2">
        <f>B46-C46</f>
      </c>
      <c r="E46" s="2">
        <f>E45-D46</f>
      </c>
    </row>
    <row r="47" spans="1:5" x14ac:dyDescent="0.25">
      <c r="A47">
        <v>38</v>
      </c>
      <c r="B47" s="2">
        <f>IF(A47&gt;$B$5*12,0,$B$6)</f>
      </c>
      <c r="C47" s="2">
        <f>E46*$B$4/12</f>
      </c>
      <c r="D47" s="2">
        <f>B47-C47</f>
      </c>
      <c r="E47" s="2">
        <f>E46-D47</f>
      </c>
    </row>
    <row r="48" spans="1:5" x14ac:dyDescent="0.25">
      <c r="A48">
        <v>39</v>
      </c>
      <c r="B48" s="2">
        <f>IF(A48&gt;$B$5*12,0,$B$6)</f>
      </c>
      <c r="C48" s="2">
        <f>E47*$B$4/12</f>
      </c>
      <c r="D48" s="2">
        <f>B48-C48</f>
      </c>
      <c r="E48" s="2">
        <f>E47-D48</f>
      </c>
    </row>
    <row r="49" spans="1:5" x14ac:dyDescent="0.25">
      <c r="A49">
        <v>40</v>
      </c>
      <c r="B49" s="2">
        <f>IF(A49&gt;$B$5*12,0,$B$6)</f>
      </c>
      <c r="C49" s="2">
        <f>E48*$B$4/12</f>
      </c>
      <c r="D49" s="2">
        <f>B49-C49</f>
      </c>
      <c r="E49" s="2">
        <f>E48-D49</f>
      </c>
    </row>
    <row r="50" spans="1:5" x14ac:dyDescent="0.25">
      <c r="A50">
        <v>41</v>
      </c>
      <c r="B50" s="2">
        <f>IF(A50&gt;$B$5*12,0,$B$6)</f>
      </c>
      <c r="C50" s="2">
        <f>E49*$B$4/12</f>
      </c>
      <c r="D50" s="2">
        <f>B50-C50</f>
      </c>
      <c r="E50" s="2">
        <f>E49-D50</f>
      </c>
    </row>
    <row r="51" spans="1:5" x14ac:dyDescent="0.25">
      <c r="A51">
        <v>42</v>
      </c>
      <c r="B51" s="2">
        <f>IF(A51&gt;$B$5*12,0,$B$6)</f>
      </c>
      <c r="C51" s="2">
        <f>E50*$B$4/12</f>
      </c>
      <c r="D51" s="2">
        <f>B51-C51</f>
      </c>
      <c r="E51" s="2">
        <f>E50-D51</f>
      </c>
    </row>
    <row r="52" spans="1:5" x14ac:dyDescent="0.25">
      <c r="A52">
        <v>43</v>
      </c>
      <c r="B52" s="2">
        <f>IF(A52&gt;$B$5*12,0,$B$6)</f>
      </c>
      <c r="C52" s="2">
        <f>E51*$B$4/12</f>
      </c>
      <c r="D52" s="2">
        <f>B52-C52</f>
      </c>
      <c r="E52" s="2">
        <f>E51-D52</f>
      </c>
    </row>
    <row r="53" spans="1:5" x14ac:dyDescent="0.25">
      <c r="A53">
        <v>44</v>
      </c>
      <c r="B53" s="2">
        <f>IF(A53&gt;$B$5*12,0,$B$6)</f>
      </c>
      <c r="C53" s="2">
        <f>E52*$B$4/12</f>
      </c>
      <c r="D53" s="2">
        <f>B53-C53</f>
      </c>
      <c r="E53" s="2">
        <f>E52-D53</f>
      </c>
    </row>
    <row r="54" spans="1:5" x14ac:dyDescent="0.25">
      <c r="A54">
        <v>45</v>
      </c>
      <c r="B54" s="2">
        <f>IF(A54&gt;$B$5*12,0,$B$6)</f>
      </c>
      <c r="C54" s="2">
        <f>E53*$B$4/12</f>
      </c>
      <c r="D54" s="2">
        <f>B54-C54</f>
      </c>
      <c r="E54" s="2">
        <f>E53-D54</f>
      </c>
    </row>
    <row r="55" spans="1:5" x14ac:dyDescent="0.25">
      <c r="A55">
        <v>46</v>
      </c>
      <c r="B55" s="2">
        <f>IF(A55&gt;$B$5*12,0,$B$6)</f>
      </c>
      <c r="C55" s="2">
        <f>E54*$B$4/12</f>
      </c>
      <c r="D55" s="2">
        <f>B55-C55</f>
      </c>
      <c r="E55" s="2">
        <f>E54-D55</f>
      </c>
    </row>
    <row r="56" spans="1:5" x14ac:dyDescent="0.25">
      <c r="A56">
        <v>47</v>
      </c>
      <c r="B56" s="2">
        <f>IF(A56&gt;$B$5*12,0,$B$6)</f>
      </c>
      <c r="C56" s="2">
        <f>E55*$B$4/12</f>
      </c>
      <c r="D56" s="2">
        <f>B56-C56</f>
      </c>
      <c r="E56" s="2">
        <f>E55-D56</f>
      </c>
    </row>
    <row r="57" spans="1:5" x14ac:dyDescent="0.25">
      <c r="A57">
        <v>48</v>
      </c>
      <c r="B57" s="2">
        <f>IF(A57&gt;$B$5*12,0,$B$6)</f>
      </c>
      <c r="C57" s="2">
        <f>E56*$B$4/12</f>
      </c>
      <c r="D57" s="2">
        <f>B57-C57</f>
      </c>
      <c r="E57" s="2">
        <f>E56-D57</f>
      </c>
    </row>
    <row r="58" spans="1:5" x14ac:dyDescent="0.25">
      <c r="A58">
        <v>49</v>
      </c>
      <c r="B58" s="2">
        <f>IF(A58&gt;$B$5*12,0,$B$6)</f>
      </c>
      <c r="C58" s="2">
        <f>E57*$B$4/12</f>
      </c>
      <c r="D58" s="2">
        <f>B58-C58</f>
      </c>
      <c r="E58" s="2">
        <f>E57-D58</f>
      </c>
    </row>
    <row r="59" spans="1:5" x14ac:dyDescent="0.25">
      <c r="A59">
        <v>50</v>
      </c>
      <c r="B59" s="2">
        <f>IF(A59&gt;$B$5*12,0,$B$6)</f>
      </c>
      <c r="C59" s="2">
        <f>E58*$B$4/12</f>
      </c>
      <c r="D59" s="2">
        <f>B59-C59</f>
      </c>
      <c r="E59" s="2">
        <f>E58-D59</f>
      </c>
    </row>
    <row r="60" spans="1:5" x14ac:dyDescent="0.25">
      <c r="A60">
        <v>51</v>
      </c>
      <c r="B60" s="2">
        <f>IF(A60&gt;$B$5*12,0,$B$6)</f>
      </c>
      <c r="C60" s="2">
        <f>E59*$B$4/12</f>
      </c>
      <c r="D60" s="2">
        <f>B60-C60</f>
      </c>
      <c r="E60" s="2">
        <f>E59-D60</f>
      </c>
    </row>
    <row r="61" spans="1:5" x14ac:dyDescent="0.25">
      <c r="A61">
        <v>52</v>
      </c>
      <c r="B61" s="2">
        <f>IF(A61&gt;$B$5*12,0,$B$6)</f>
      </c>
      <c r="C61" s="2">
        <f>E60*$B$4/12</f>
      </c>
      <c r="D61" s="2">
        <f>B61-C61</f>
      </c>
      <c r="E61" s="2">
        <f>E60-D61</f>
      </c>
    </row>
    <row r="62" spans="1:5" x14ac:dyDescent="0.25">
      <c r="A62">
        <v>53</v>
      </c>
      <c r="B62" s="2">
        <f>IF(A62&gt;$B$5*12,0,$B$6)</f>
      </c>
      <c r="C62" s="2">
        <f>E61*$B$4/12</f>
      </c>
      <c r="D62" s="2">
        <f>B62-C62</f>
      </c>
      <c r="E62" s="2">
        <f>E61-D62</f>
      </c>
    </row>
    <row r="63" spans="1:5" x14ac:dyDescent="0.25">
      <c r="A63">
        <v>54</v>
      </c>
      <c r="B63" s="2">
        <f>IF(A63&gt;$B$5*12,0,$B$6)</f>
      </c>
      <c r="C63" s="2">
        <f>E62*$B$4/12</f>
      </c>
      <c r="D63" s="2">
        <f>B63-C63</f>
      </c>
      <c r="E63" s="2">
        <f>E62-D63</f>
      </c>
    </row>
    <row r="64" spans="1:5" x14ac:dyDescent="0.25">
      <c r="A64">
        <v>55</v>
      </c>
      <c r="B64" s="2">
        <f>IF(A64&gt;$B$5*12,0,$B$6)</f>
      </c>
      <c r="C64" s="2">
        <f>E63*$B$4/12</f>
      </c>
      <c r="D64" s="2">
        <f>B64-C64</f>
      </c>
      <c r="E64" s="2">
        <f>E63-D64</f>
      </c>
    </row>
    <row r="65" spans="1:5" x14ac:dyDescent="0.25">
      <c r="A65">
        <v>56</v>
      </c>
      <c r="B65" s="2">
        <f>IF(A65&gt;$B$5*12,0,$B$6)</f>
      </c>
      <c r="C65" s="2">
        <f>E64*$B$4/12</f>
      </c>
      <c r="D65" s="2">
        <f>B65-C65</f>
      </c>
      <c r="E65" s="2">
        <f>E64-D65</f>
      </c>
    </row>
    <row r="66" spans="1:5" x14ac:dyDescent="0.25">
      <c r="A66">
        <v>57</v>
      </c>
      <c r="B66" s="2">
        <f>IF(A66&gt;$B$5*12,0,$B$6)</f>
      </c>
      <c r="C66" s="2">
        <f>E65*$B$4/12</f>
      </c>
      <c r="D66" s="2">
        <f>B66-C66</f>
      </c>
      <c r="E66" s="2">
        <f>E65-D66</f>
      </c>
    </row>
    <row r="67" spans="1:5" x14ac:dyDescent="0.25">
      <c r="A67">
        <v>58</v>
      </c>
      <c r="B67" s="2">
        <f>IF(A67&gt;$B$5*12,0,$B$6)</f>
      </c>
      <c r="C67" s="2">
        <f>E66*$B$4/12</f>
      </c>
      <c r="D67" s="2">
        <f>B67-C67</f>
      </c>
      <c r="E67" s="2">
        <f>E66-D67</f>
      </c>
    </row>
    <row r="68" spans="1:5" x14ac:dyDescent="0.25">
      <c r="A68">
        <v>59</v>
      </c>
      <c r="B68" s="2">
        <f>IF(A68&gt;$B$5*12,0,$B$6)</f>
      </c>
      <c r="C68" s="2">
        <f>E67*$B$4/12</f>
      </c>
      <c r="D68" s="2">
        <f>B68-C68</f>
      </c>
      <c r="E68" s="2">
        <f>E67-D68</f>
      </c>
    </row>
    <row r="69" spans="1:5" x14ac:dyDescent="0.25">
      <c r="A69">
        <v>60</v>
      </c>
      <c r="B69" s="2">
        <f>IF(A69&gt;$B$5*12,0,$B$6)</f>
      </c>
      <c r="C69" s="2">
        <f>E68*$B$4/12</f>
      </c>
      <c r="D69" s="2">
        <f>B69-C69</f>
      </c>
      <c r="E69" s="2">
        <f>E68-D69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2026-10-05T21:27:05Z</dcterms:created>
  <dcterms:modified xsi:type="dcterms:W3CDTF">2026-10-05T21:27:05Z</dcterms:modified>
</cp:coreProperties>
</file>